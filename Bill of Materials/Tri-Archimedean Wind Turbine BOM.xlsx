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ck Club Projects\Forge\Tri-Archimedean Wind Turbine\Bill of Materials\"/>
    </mc:Choice>
  </mc:AlternateContent>
  <xr:revisionPtr revIDLastSave="0" documentId="13_ncr:1_{4D4E45CD-8BED-490D-B34D-3FA9CE150842}" xr6:coauthVersionLast="47" xr6:coauthVersionMax="47" xr10:uidLastSave="{00000000-0000-0000-0000-000000000000}"/>
  <bookViews>
    <workbookView xWindow="-120" yWindow="-120" windowWidth="20730" windowHeight="11235" xr2:uid="{9ADFC1CB-25AD-49A2-AA27-FCCDFE2AF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C12" i="1"/>
  <c r="C23" i="1"/>
  <c r="C19" i="1"/>
  <c r="C24" i="1" l="1"/>
</calcChain>
</file>

<file path=xl/sharedStrings.xml><?xml version="1.0" encoding="utf-8"?>
<sst xmlns="http://schemas.openxmlformats.org/spreadsheetml/2006/main" count="34" uniqueCount="31">
  <si>
    <t>Component Category</t>
  </si>
  <si>
    <t>Item</t>
  </si>
  <si>
    <t>Cost</t>
  </si>
  <si>
    <t>Side Note</t>
  </si>
  <si>
    <t>Link</t>
  </si>
  <si>
    <t>Total</t>
  </si>
  <si>
    <t>Grand Total</t>
  </si>
  <si>
    <t>PCB [5]</t>
  </si>
  <si>
    <t>Taxes &amp; Shipping</t>
  </si>
  <si>
    <t>Tri-Archimedean Wind Turbine BOM</t>
  </si>
  <si>
    <t>Structural Components</t>
  </si>
  <si>
    <t>Mechanical Components</t>
  </si>
  <si>
    <t>Electronic Components</t>
  </si>
  <si>
    <t xml:space="preserve"> Charge battery from output</t>
  </si>
  <si>
    <t>XL6009 DC-DC Boost Converter</t>
  </si>
  <si>
    <t>ATORSE 3-Phase Rectifier</t>
  </si>
  <si>
    <t>DYS D3536-9 910KV BLDC Motor</t>
  </si>
  <si>
    <t>1000µF 25V Capacitor [2]</t>
  </si>
  <si>
    <t>TP4056 Charging Module</t>
  </si>
  <si>
    <t xml:space="preserve">Increase output voltage </t>
  </si>
  <si>
    <t>Smooth output</t>
  </si>
  <si>
    <t>Convert AC → DC</t>
  </si>
  <si>
    <t>Generate electricity</t>
  </si>
  <si>
    <t>https://robu.in/product/6200zz-bearing-10x30x9-shielded-miniature-ball-bearings-4pcs/</t>
  </si>
  <si>
    <t>https://robu.in/product/tp4056-1a-li-ion-lithium-battery-charging-module-with-current-protection-type-c/?gad_source=1&amp;gad_campaignid=21296336107&amp;gbraid=0AAAAADvLFWfIVKpodbBiwwStvgjfAd9AA&amp;gclid=Cj0KCQjwmunNBhDbARIsAOndKpkr0DUxdLOvePmfRXMjHUz1TEuaEtSA7X1qSXegPcqnVKEs85l3oL8aAhxaEALw_wcB</t>
  </si>
  <si>
    <t>https://robu.in/product/xl6009-dc-dc-step-up-converter-performance-ultra-lm2577-booster-circuit-board/</t>
  </si>
  <si>
    <t>https://robu.in/product/1000uf-25v-electrolytic-capacitor-dip-pack-of-5/?gad_source=1&amp;gad_campaignid=17427802703&amp;gbraid=0AAAAADvLFWdoU8ETCY7L4Jk7JtQiLVYpi&amp;gclid=Cj0KCQjwmunNBhDbARIsAOndKpn8g1YaEd46AuHutQtw_pX00QtMXT71daDhztqtxJNMG3HaxQKSYS8aAi7DEALw_wcB</t>
  </si>
  <si>
    <t>https://www.amazon.in/dp/B0FL2R161X?_encoding=UTF8&amp;psc=1&amp;ref=cm_sw_r_cp_ud_dp_0Y7MF5EKJ294958XEMKA&amp;ref_=cm_sw_r_cp_ud_dp_0Y7MF5EKJ294958XEMKA&amp;social_share=cm_sw_r_cp_ud_dp_0Y7MF5EKJ294958XEMKA</t>
  </si>
  <si>
    <t>https://robu.in/product/dys-d3536-9-910-kv-bldc-motor/</t>
  </si>
  <si>
    <t>6200ZZ Bearing [1 (contains 4)]</t>
  </si>
  <si>
    <t>Smooth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</si>
</sst>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8" x14ac:knownFonts="1">
    <font>
      <sz val="11"/>
      <color theme="1"/>
      <name val="Aptos Narrow"/>
      <family val="2"/>
      <scheme val="minor"/>
    </font>
    <font>
      <b/>
      <u/>
      <sz val="30"/>
      <color theme="1"/>
      <name val="Bahnschrift SemiBold Condensed"/>
      <family val="2"/>
    </font>
    <font>
      <b/>
      <sz val="15"/>
      <color theme="1"/>
      <name val="Bahnschrift SemiBold Condensed"/>
      <family val="2"/>
    </font>
    <font>
      <sz val="15"/>
      <color theme="1"/>
      <name val="Bahnschrift SemiBold Condensed"/>
      <family val="2"/>
    </font>
    <font>
      <sz val="10"/>
      <color theme="1"/>
      <name val="Bahnschrift SemiBold Condensed"/>
      <family val="2"/>
    </font>
    <font>
      <sz val="11"/>
      <color theme="1"/>
      <name val="Bahnschrift SemiBold Condensed"/>
      <family val="2"/>
    </font>
    <font>
      <b/>
      <sz val="11"/>
      <color theme="1"/>
      <name val="Bahnschrift SemiBold Condensed"/>
      <family val="2"/>
    </font>
    <font>
      <u/>
      <sz val="11"/>
      <color theme="1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6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/>
    <xf numFmtId="0" fontId="7" fillId="10" borderId="1" xfId="1" applyFill="1" applyBorder="1" applyAlignment="1"/>
    <xf numFmtId="0" fontId="7" fillId="12" borderId="1" xfId="1" applyFill="1" applyBorder="1" applyAlignment="1"/>
    <xf numFmtId="0" fontId="7" fillId="10" borderId="1" xfId="1" applyFill="1" applyBorder="1"/>
    <xf numFmtId="164" fontId="3" fillId="12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FDD0-C7EA-42BF-B1AB-2768689F401D}">
  <dimension ref="A1:E24"/>
  <sheetViews>
    <sheetView tabSelected="1" topLeftCell="B4" zoomScale="172" zoomScaleNormal="145" workbookViewId="0">
      <selection activeCell="D10" sqref="D10"/>
    </sheetView>
  </sheetViews>
  <sheetFormatPr defaultRowHeight="15" x14ac:dyDescent="0.25"/>
  <cols>
    <col min="1" max="1" width="28.85546875" bestFit="1" customWidth="1"/>
    <col min="2" max="2" width="46.5703125" bestFit="1" customWidth="1"/>
    <col min="3" max="3" width="11.28515625" bestFit="1" customWidth="1"/>
    <col min="4" max="4" width="19.28515625" bestFit="1" customWidth="1"/>
    <col min="5" max="5" width="149.5703125" bestFit="1" customWidth="1"/>
  </cols>
  <sheetData>
    <row r="1" spans="1:5" ht="36.75" x14ac:dyDescent="0.25">
      <c r="A1" s="18" t="s">
        <v>9</v>
      </c>
      <c r="B1" s="18"/>
      <c r="C1" s="18"/>
      <c r="D1" s="18"/>
      <c r="E1" s="18"/>
    </row>
    <row r="2" spans="1:5" ht="18.75" x14ac:dyDescent="0.25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</row>
    <row r="3" spans="1:5" x14ac:dyDescent="0.25">
      <c r="A3" s="19" t="s">
        <v>10</v>
      </c>
      <c r="B3" s="6"/>
      <c r="C3" s="7"/>
      <c r="D3" s="7"/>
      <c r="E3" s="12"/>
    </row>
    <row r="4" spans="1:5" x14ac:dyDescent="0.25">
      <c r="A4" s="19"/>
      <c r="B4" s="6"/>
      <c r="C4" s="7"/>
      <c r="D4" s="7"/>
      <c r="E4" s="12"/>
    </row>
    <row r="5" spans="1:5" x14ac:dyDescent="0.25">
      <c r="A5" s="19"/>
      <c r="B5" s="6"/>
      <c r="C5" s="7"/>
      <c r="D5" s="7"/>
      <c r="E5" s="12"/>
    </row>
    <row r="6" spans="1:5" x14ac:dyDescent="0.25">
      <c r="A6" s="19"/>
      <c r="B6" s="6"/>
      <c r="C6" s="7"/>
      <c r="D6" s="7"/>
      <c r="E6" s="12"/>
    </row>
    <row r="7" spans="1:5" x14ac:dyDescent="0.25">
      <c r="A7" s="19"/>
      <c r="B7" s="15" t="s">
        <v>5</v>
      </c>
      <c r="C7" s="8">
        <f>SUM(C3:C6)</f>
        <v>0</v>
      </c>
      <c r="D7" s="8"/>
      <c r="E7" s="9"/>
    </row>
    <row r="8" spans="1:5" ht="15" customHeight="1" x14ac:dyDescent="0.25">
      <c r="A8" s="23" t="s">
        <v>11</v>
      </c>
      <c r="B8" s="14"/>
      <c r="C8" s="7"/>
      <c r="D8" s="7"/>
      <c r="E8" s="10"/>
    </row>
    <row r="9" spans="1:5" ht="15" customHeight="1" x14ac:dyDescent="0.25">
      <c r="A9" s="24"/>
      <c r="B9" s="14"/>
      <c r="C9" s="7"/>
      <c r="D9" s="7"/>
      <c r="E9" s="10"/>
    </row>
    <row r="10" spans="1:5" ht="15" customHeight="1" x14ac:dyDescent="0.25">
      <c r="A10" s="24"/>
      <c r="B10" s="6" t="s">
        <v>29</v>
      </c>
      <c r="C10" s="7">
        <v>2.0099999999999998</v>
      </c>
      <c r="D10" s="7" t="s">
        <v>30</v>
      </c>
      <c r="E10" s="10" t="s">
        <v>23</v>
      </c>
    </row>
    <row r="11" spans="1:5" ht="15" customHeight="1" x14ac:dyDescent="0.25">
      <c r="A11" s="24"/>
      <c r="B11" s="6"/>
      <c r="C11" s="7"/>
      <c r="D11" s="7"/>
      <c r="E11" s="10"/>
    </row>
    <row r="12" spans="1:5" ht="15" customHeight="1" x14ac:dyDescent="0.25">
      <c r="A12" s="24"/>
      <c r="B12" s="15" t="s">
        <v>5</v>
      </c>
      <c r="C12" s="8">
        <f>SUM(C8:C11)</f>
        <v>2.0099999999999998</v>
      </c>
      <c r="D12" s="8"/>
      <c r="E12" s="9"/>
    </row>
    <row r="13" spans="1:5" ht="15" customHeight="1" x14ac:dyDescent="0.25">
      <c r="A13" s="25" t="s">
        <v>12</v>
      </c>
      <c r="B13" s="6" t="s">
        <v>7</v>
      </c>
      <c r="C13" s="7">
        <v>0</v>
      </c>
      <c r="D13" s="7"/>
      <c r="E13" s="10"/>
    </row>
    <row r="14" spans="1:5" ht="15" customHeight="1" x14ac:dyDescent="0.25">
      <c r="A14" s="25"/>
      <c r="B14" s="6" t="s">
        <v>18</v>
      </c>
      <c r="C14" s="7">
        <v>0.15</v>
      </c>
      <c r="D14" s="7" t="s">
        <v>13</v>
      </c>
      <c r="E14" s="10" t="s">
        <v>24</v>
      </c>
    </row>
    <row r="15" spans="1:5" ht="15" customHeight="1" x14ac:dyDescent="0.25">
      <c r="A15" s="25"/>
      <c r="B15" s="6" t="s">
        <v>14</v>
      </c>
      <c r="C15" s="7">
        <v>0.66</v>
      </c>
      <c r="D15" s="7" t="s">
        <v>19</v>
      </c>
      <c r="E15" s="10" t="s">
        <v>25</v>
      </c>
    </row>
    <row r="16" spans="1:5" ht="15" customHeight="1" x14ac:dyDescent="0.25">
      <c r="A16" s="25"/>
      <c r="B16" s="6" t="s">
        <v>17</v>
      </c>
      <c r="C16" s="7">
        <v>0.24</v>
      </c>
      <c r="D16" s="7" t="s">
        <v>20</v>
      </c>
      <c r="E16" s="10" t="s">
        <v>26</v>
      </c>
    </row>
    <row r="17" spans="1:5" ht="15" customHeight="1" x14ac:dyDescent="0.25">
      <c r="A17" s="25"/>
      <c r="B17" s="6" t="s">
        <v>15</v>
      </c>
      <c r="C17" s="7">
        <v>18.27</v>
      </c>
      <c r="D17" s="7" t="s">
        <v>21</v>
      </c>
      <c r="E17" s="10" t="s">
        <v>27</v>
      </c>
    </row>
    <row r="18" spans="1:5" ht="15" customHeight="1" x14ac:dyDescent="0.25">
      <c r="A18" s="25"/>
      <c r="B18" s="6" t="s">
        <v>16</v>
      </c>
      <c r="C18" s="7">
        <v>17.72</v>
      </c>
      <c r="D18" s="7" t="s">
        <v>22</v>
      </c>
      <c r="E18" s="10" t="s">
        <v>28</v>
      </c>
    </row>
    <row r="19" spans="1:5" ht="15" customHeight="1" x14ac:dyDescent="0.25">
      <c r="A19" s="26"/>
      <c r="B19" s="15" t="s">
        <v>5</v>
      </c>
      <c r="C19" s="8">
        <f>SUM(C13:C18)</f>
        <v>37.04</v>
      </c>
      <c r="D19" s="8"/>
      <c r="E19" s="11"/>
    </row>
    <row r="20" spans="1:5" ht="15" customHeight="1" x14ac:dyDescent="0.25">
      <c r="A20" s="20" t="s">
        <v>8</v>
      </c>
      <c r="B20" s="14"/>
      <c r="C20" s="7"/>
      <c r="D20" s="7"/>
      <c r="E20" s="10"/>
    </row>
    <row r="21" spans="1:5" ht="15" customHeight="1" x14ac:dyDescent="0.25">
      <c r="A21" s="21"/>
      <c r="B21" s="14"/>
      <c r="C21" s="7"/>
      <c r="D21" s="7"/>
      <c r="E21" s="10"/>
    </row>
    <row r="22" spans="1:5" ht="15" customHeight="1" x14ac:dyDescent="0.25">
      <c r="A22" s="21"/>
      <c r="B22" s="6"/>
      <c r="C22" s="7"/>
      <c r="D22" s="7"/>
      <c r="E22" s="10"/>
    </row>
    <row r="23" spans="1:5" ht="15" customHeight="1" x14ac:dyDescent="0.25">
      <c r="A23" s="22"/>
      <c r="B23" s="15" t="s">
        <v>5</v>
      </c>
      <c r="C23" s="8">
        <f>SUM(C20:C22)</f>
        <v>0</v>
      </c>
      <c r="D23" s="8"/>
      <c r="E23" s="11"/>
    </row>
    <row r="24" spans="1:5" ht="18.75" x14ac:dyDescent="0.25">
      <c r="A24" s="16" t="s">
        <v>6</v>
      </c>
      <c r="B24" s="16"/>
      <c r="C24" s="13">
        <f>SUM(C7,C19,C23)</f>
        <v>37.04</v>
      </c>
      <c r="D24" s="17"/>
      <c r="E24" s="17"/>
    </row>
  </sheetData>
  <mergeCells count="7">
    <mergeCell ref="A24:B24"/>
    <mergeCell ref="D24:E24"/>
    <mergeCell ref="A1:E1"/>
    <mergeCell ref="A3:A7"/>
    <mergeCell ref="A20:A23"/>
    <mergeCell ref="A8:A12"/>
    <mergeCell ref="A13:A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Sunrit Hazra</dc:creator>
  <cp:lastModifiedBy>Sunrit Hazra</cp:lastModifiedBy>
  <dcterms:created xsi:type="dcterms:W3CDTF">2026-07-13T12:07:20Z</dcterms:created>
  <dcterms:modified xsi:type="dcterms:W3CDTF">2026-07-23T13:35:22Z</dcterms:modified>
</cp:coreProperties>
</file>